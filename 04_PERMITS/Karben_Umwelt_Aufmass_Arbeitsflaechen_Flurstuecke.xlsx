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Unidades compartidas\DE\02_Projekt Laufend\11_Karben\12 Engineering_Planung\12.02 Bautechnik-Statik\05. Zuwegungen\03_Recursos\"/>
    </mc:Choice>
  </mc:AlternateContent>
  <xr:revisionPtr revIDLastSave="0" documentId="13_ncr:1_{2A34D613-7EB7-411F-BDD9-FBD365629A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beitsflaechen" sheetId="1" r:id="rId1"/>
    <sheet name="Zuwegung temporaer" sheetId="2" r:id="rId2"/>
    <sheet name="Gerueste" sheetId="3" r:id="rId3"/>
  </sheets>
  <definedNames>
    <definedName name="_xlnm._FilterDatabase" localSheetId="0" hidden="1">Arbeitsflaechen!$A$1:$Q$18</definedName>
    <definedName name="_xlnm._FilterDatabase" localSheetId="2" hidden="1">Gerueste!$A$1:$R$7</definedName>
    <definedName name="_xlnm._FilterDatabase" localSheetId="1" hidden="1">'Zuwegung temporaer'!$A$1:$R$34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2" l="1"/>
  <c r="F9" i="3"/>
  <c r="F20" i="1"/>
</calcChain>
</file>

<file path=xl/sharedStrings.xml><?xml version="1.0" encoding="utf-8"?>
<sst xmlns="http://schemas.openxmlformats.org/spreadsheetml/2006/main" count="368" uniqueCount="121">
  <si>
    <t>Gemeinde</t>
  </si>
  <si>
    <t>Gemarkung</t>
  </si>
  <si>
    <t>Flur</t>
  </si>
  <si>
    <t>Flurstueck</t>
  </si>
  <si>
    <t>Flurstueckskennzeichen</t>
  </si>
  <si>
    <t>Betroffene Flaeche [m2]</t>
  </si>
  <si>
    <t>Flurstuecksflaeche amtlich [m2]</t>
  </si>
  <si>
    <t>Anteil am Flurstueck [%]</t>
  </si>
  <si>
    <t>Mast Nr.</t>
  </si>
  <si>
    <t>Arbeitsflaechen-ID</t>
  </si>
  <si>
    <t>Art / Typ</t>
  </si>
  <si>
    <t>Status</t>
  </si>
  <si>
    <t>Bemerkung</t>
  </si>
  <si>
    <t>Breite [m]</t>
  </si>
  <si>
    <t>Laenge [m]</t>
  </si>
  <si>
    <t>Hoehe [m]</t>
  </si>
  <si>
    <t>Quelle Oberflaeche</t>
  </si>
  <si>
    <t>Datum Oberflaeche</t>
  </si>
  <si>
    <t>Maintal</t>
  </si>
  <si>
    <t>Dörnigheim</t>
  </si>
  <si>
    <t>22</t>
  </si>
  <si>
    <t>34</t>
  </si>
  <si>
    <t>06089202200034______</t>
  </si>
  <si>
    <t>35</t>
  </si>
  <si>
    <t>06089202200035______</t>
  </si>
  <si>
    <t>39</t>
  </si>
  <si>
    <t>06089202200039______</t>
  </si>
  <si>
    <t>55</t>
  </si>
  <si>
    <t>06089202200055______</t>
  </si>
  <si>
    <t>68</t>
  </si>
  <si>
    <t>06089202200068______</t>
  </si>
  <si>
    <t>Hochstadt</t>
  </si>
  <si>
    <t>8</t>
  </si>
  <si>
    <t>2</t>
  </si>
  <si>
    <t>06092100800002______</t>
  </si>
  <si>
    <t>Wachenbuchen</t>
  </si>
  <si>
    <t>12</t>
  </si>
  <si>
    <t>9/175</t>
  </si>
  <si>
    <t>061016012000090175__</t>
  </si>
  <si>
    <t>17</t>
  </si>
  <si>
    <t>49/1</t>
  </si>
  <si>
    <t>061016017000490001__</t>
  </si>
  <si>
    <t>50/1</t>
  </si>
  <si>
    <t>061016017000500001__</t>
  </si>
  <si>
    <t>13</t>
  </si>
  <si>
    <t>06101602200013______</t>
  </si>
  <si>
    <t>Kran + Hubsteiger System 3</t>
  </si>
  <si>
    <t>9</t>
  </si>
  <si>
    <t>06101602200009______</t>
  </si>
  <si>
    <t>kran System 1 + Hubsteiger</t>
  </si>
  <si>
    <t>95/8</t>
  </si>
  <si>
    <t>061016022000950008__</t>
  </si>
  <si>
    <t>96/12</t>
  </si>
  <si>
    <t>061016022000960012__</t>
  </si>
  <si>
    <t>Niederdorfelden</t>
  </si>
  <si>
    <t>23</t>
  </si>
  <si>
    <t>06096802300017______</t>
  </si>
  <si>
    <t>18</t>
  </si>
  <si>
    <t>06096802300018______</t>
  </si>
  <si>
    <t>Summe</t>
  </si>
  <si>
    <t>3</t>
  </si>
  <si>
    <t>111/8</t>
  </si>
  <si>
    <t>060921003001110008__</t>
  </si>
  <si>
    <t>71</t>
  </si>
  <si>
    <t>06092100300071______</t>
  </si>
  <si>
    <t>1</t>
  </si>
  <si>
    <t>06092100800001______</t>
  </si>
  <si>
    <t>Kran+Hubsteiger System 3</t>
  </si>
  <si>
    <t>kran+Hubsteriger System 1</t>
  </si>
  <si>
    <t>57/2</t>
  </si>
  <si>
    <t>061016022000570002__</t>
  </si>
  <si>
    <t>60</t>
  </si>
  <si>
    <t>06101602200060______</t>
  </si>
  <si>
    <t>61/1</t>
  </si>
  <si>
    <t>061016022000610001__</t>
  </si>
  <si>
    <t>63/1</t>
  </si>
  <si>
    <t>061016022000630001__</t>
  </si>
  <si>
    <t>99/59</t>
  </si>
  <si>
    <t>061016022000990059__</t>
  </si>
  <si>
    <t>24/3</t>
  </si>
  <si>
    <t>061016023000240003__</t>
  </si>
  <si>
    <t>24/4</t>
  </si>
  <si>
    <t>061016023000240004__</t>
  </si>
  <si>
    <t>36</t>
  </si>
  <si>
    <t>06101602300036______</t>
  </si>
  <si>
    <t>37</t>
  </si>
  <si>
    <t>06101602300037______</t>
  </si>
  <si>
    <t>50/26</t>
  </si>
  <si>
    <t>061016023000500026__</t>
  </si>
  <si>
    <t>54/25</t>
  </si>
  <si>
    <t>061016023000540025__</t>
  </si>
  <si>
    <t>55/25</t>
  </si>
  <si>
    <t>061016023000550025__</t>
  </si>
  <si>
    <t>25</t>
  </si>
  <si>
    <t>06096802200025______</t>
  </si>
  <si>
    <t>26</t>
  </si>
  <si>
    <t>06096802200026______</t>
  </si>
  <si>
    <t>19</t>
  </si>
  <si>
    <t>06096802300019______</t>
  </si>
  <si>
    <t>15</t>
  </si>
  <si>
    <t>06092100100015______</t>
  </si>
  <si>
    <t>45</t>
  </si>
  <si>
    <t>16</t>
  </si>
  <si>
    <t>06092100100016______</t>
  </si>
  <si>
    <t>06092100100017______</t>
  </si>
  <si>
    <t>49</t>
  </si>
  <si>
    <t>06092100100049______</t>
  </si>
  <si>
    <t>32</t>
  </si>
  <si>
    <t>06096802200032______</t>
  </si>
  <si>
    <t>42</t>
  </si>
  <si>
    <t>33</t>
  </si>
  <si>
    <t>06096802200033______</t>
  </si>
  <si>
    <t>Wegebau Seilzugfläche</t>
  </si>
  <si>
    <t>Kran Wegebau</t>
  </si>
  <si>
    <t>Wegebau Rollenleine</t>
  </si>
  <si>
    <t>Bremse M042-M048</t>
  </si>
  <si>
    <t xml:space="preserve">Rollenleine Mast 050 </t>
  </si>
  <si>
    <t>rollenleine Mast 051</t>
  </si>
  <si>
    <t>verankerung Mast 047</t>
  </si>
  <si>
    <t>Bremse M051-M048</t>
  </si>
  <si>
    <t>Konterzug  M048-M042 + Winde 051-048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</si>
</sst>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medium">
        <color rgb="FF5B9BD5"/>
      </top>
      <bottom style="medium">
        <color rgb="FF5B9BD5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2" fontId="0" fillId="0" borderId="2" xfId="0" applyNumberFormat="1" applyBorder="1" applyAlignment="1">
      <alignment vertical="top" wrapText="1"/>
    </xf>
    <xf numFmtId="0" fontId="2" fillId="3" borderId="1" xfId="0" applyFont="1" applyFill="1" applyBorder="1"/>
    <xf numFmtId="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Q20"/>
  <sheetViews>
    <sheetView showGridLines="0" tabSelected="1" workbookViewId="0">
      <pane ySplit="1" topLeftCell="A2" activePane="bottomLeft" state="frozen"/>
      <selection activeCell="D24" sqref="D24"/>
      <selection pane="bottomLeft" activeCell="D9" sqref="D9"/>
    </sheetView>
  </sheetViews>
  <sheetFormatPr baseColWidth="10" defaultColWidth="9.140625" defaultRowHeight="15" x14ac:dyDescent="0.25"/>
  <cols>
    <col min="1" max="2" width="17" customWidth="1"/>
    <col min="3" max="4" width="12" customWidth="1"/>
    <col min="5" max="5" width="24" customWidth="1"/>
    <col min="6" max="6" width="25" customWidth="1"/>
    <col min="7" max="7" width="32" customWidth="1"/>
    <col min="8" max="8" width="26" customWidth="1"/>
    <col min="9" max="9" width="12" customWidth="1"/>
    <col min="10" max="10" width="28" customWidth="1"/>
    <col min="11" max="11" width="15" customWidth="1"/>
    <col min="12" max="15" width="12" customWidth="1"/>
    <col min="16" max="16" width="20" customWidth="1"/>
    <col min="17" max="17" width="19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125.5102779148237</v>
      </c>
      <c r="G2" s="2">
        <v>2097</v>
      </c>
      <c r="H2" s="3">
        <v>6.0012975103241626</v>
      </c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2" t="s">
        <v>18</v>
      </c>
      <c r="B3" s="2" t="s">
        <v>19</v>
      </c>
      <c r="C3" s="2" t="s">
        <v>20</v>
      </c>
      <c r="D3" s="2" t="s">
        <v>23</v>
      </c>
      <c r="E3" s="2" t="s">
        <v>24</v>
      </c>
      <c r="F3" s="3">
        <v>136.87953849150321</v>
      </c>
      <c r="G3" s="2">
        <v>1767</v>
      </c>
      <c r="H3" s="3">
        <v>7.7380482413514944</v>
      </c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 t="s">
        <v>18</v>
      </c>
      <c r="B4" s="2" t="s">
        <v>19</v>
      </c>
      <c r="C4" s="2" t="s">
        <v>20</v>
      </c>
      <c r="D4" s="2" t="s">
        <v>25</v>
      </c>
      <c r="E4" s="2" t="s">
        <v>26</v>
      </c>
      <c r="F4" s="3">
        <v>12.175827390283629</v>
      </c>
      <c r="G4" s="2">
        <v>1907</v>
      </c>
      <c r="H4" s="3">
        <v>0.64101435760005943</v>
      </c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 t="s">
        <v>18</v>
      </c>
      <c r="B5" s="2" t="s">
        <v>19</v>
      </c>
      <c r="C5" s="2" t="s">
        <v>20</v>
      </c>
      <c r="D5" s="2" t="s">
        <v>27</v>
      </c>
      <c r="E5" s="2" t="s">
        <v>28</v>
      </c>
      <c r="F5" s="3">
        <v>65.67748089486264</v>
      </c>
      <c r="G5" s="2">
        <v>666</v>
      </c>
      <c r="H5" s="3">
        <v>9.831388232396856</v>
      </c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 t="s">
        <v>18</v>
      </c>
      <c r="B6" s="2" t="s">
        <v>19</v>
      </c>
      <c r="C6" s="2" t="s">
        <v>20</v>
      </c>
      <c r="D6" s="2" t="s">
        <v>29</v>
      </c>
      <c r="E6" s="2" t="s">
        <v>30</v>
      </c>
      <c r="F6" s="3">
        <v>40.460166511152593</v>
      </c>
      <c r="G6" s="2">
        <v>929</v>
      </c>
      <c r="H6" s="3">
        <v>4.3561983097777608</v>
      </c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 t="s">
        <v>18</v>
      </c>
      <c r="B7" s="2" t="s">
        <v>31</v>
      </c>
      <c r="C7" s="2" t="s">
        <v>32</v>
      </c>
      <c r="D7" s="2" t="s">
        <v>33</v>
      </c>
      <c r="E7" s="2" t="s">
        <v>34</v>
      </c>
      <c r="F7" s="3">
        <v>59.29544393814728</v>
      </c>
      <c r="G7" s="2">
        <v>905</v>
      </c>
      <c r="H7" s="3">
        <v>6.5762949036573346</v>
      </c>
      <c r="I7" s="2">
        <v>47</v>
      </c>
      <c r="J7" s="2" t="s">
        <v>118</v>
      </c>
      <c r="K7" s="2"/>
      <c r="L7" s="2"/>
      <c r="M7" s="2"/>
      <c r="N7" s="2"/>
      <c r="O7" s="2"/>
      <c r="P7" s="2"/>
      <c r="Q7" s="2"/>
    </row>
    <row r="8" spans="1:17" x14ac:dyDescent="0.25">
      <c r="A8" s="2" t="s">
        <v>18</v>
      </c>
      <c r="B8" s="2" t="s">
        <v>35</v>
      </c>
      <c r="C8" s="2" t="s">
        <v>36</v>
      </c>
      <c r="D8" s="2" t="s">
        <v>37</v>
      </c>
      <c r="E8" s="2" t="s">
        <v>38</v>
      </c>
      <c r="F8" s="3">
        <v>774.35899058114171</v>
      </c>
      <c r="G8" s="2">
        <v>314996</v>
      </c>
      <c r="H8" s="3">
        <v>0.24956099971579551</v>
      </c>
      <c r="I8" s="2">
        <v>51</v>
      </c>
      <c r="J8" s="2" t="s">
        <v>119</v>
      </c>
      <c r="K8" s="2"/>
      <c r="L8" s="2"/>
      <c r="M8" s="2"/>
      <c r="N8" s="2"/>
      <c r="O8" s="2"/>
      <c r="P8" s="2"/>
      <c r="Q8" s="2"/>
    </row>
    <row r="9" spans="1:17" x14ac:dyDescent="0.25">
      <c r="A9" s="2" t="s">
        <v>18</v>
      </c>
      <c r="B9" s="2" t="s">
        <v>35</v>
      </c>
      <c r="C9" s="2" t="s">
        <v>36</v>
      </c>
      <c r="D9" s="2" t="s">
        <v>37</v>
      </c>
      <c r="E9" s="2" t="s">
        <v>38</v>
      </c>
      <c r="F9" s="3">
        <v>134.20547826048141</v>
      </c>
      <c r="G9" s="2">
        <v>314996</v>
      </c>
      <c r="H9" s="3">
        <v>4.3251842787912567E-2</v>
      </c>
      <c r="I9" s="2">
        <v>51</v>
      </c>
      <c r="J9" s="2" t="s">
        <v>116</v>
      </c>
      <c r="K9" s="2"/>
      <c r="L9" s="2"/>
      <c r="M9" s="2"/>
      <c r="N9" s="2"/>
      <c r="O9" s="2"/>
      <c r="P9" s="2"/>
      <c r="Q9" s="2"/>
    </row>
    <row r="10" spans="1:17" x14ac:dyDescent="0.25">
      <c r="A10" s="2" t="s">
        <v>18</v>
      </c>
      <c r="B10" s="2" t="s">
        <v>35</v>
      </c>
      <c r="C10" s="2" t="s">
        <v>39</v>
      </c>
      <c r="D10" s="2" t="s">
        <v>40</v>
      </c>
      <c r="E10" s="2" t="s">
        <v>41</v>
      </c>
      <c r="F10" s="3">
        <v>44.932147077242043</v>
      </c>
      <c r="G10" s="2">
        <v>2463</v>
      </c>
      <c r="H10" s="3">
        <v>1.8258476696870669</v>
      </c>
      <c r="I10" s="2">
        <v>50</v>
      </c>
      <c r="J10" s="2" t="s">
        <v>117</v>
      </c>
      <c r="K10" s="2"/>
      <c r="L10" s="2"/>
      <c r="M10" s="2"/>
      <c r="N10" s="2"/>
      <c r="O10" s="2"/>
      <c r="P10" s="2"/>
      <c r="Q10" s="2"/>
    </row>
    <row r="11" spans="1:17" x14ac:dyDescent="0.25">
      <c r="A11" s="2" t="s">
        <v>18</v>
      </c>
      <c r="B11" s="2" t="s">
        <v>35</v>
      </c>
      <c r="C11" s="2" t="s">
        <v>39</v>
      </c>
      <c r="D11" s="2" t="s">
        <v>42</v>
      </c>
      <c r="E11" s="2" t="s">
        <v>43</v>
      </c>
      <c r="F11" s="3">
        <v>33.30617589186199</v>
      </c>
      <c r="G11" s="2">
        <v>2585</v>
      </c>
      <c r="H11" s="3">
        <v>1.2892148249614781</v>
      </c>
      <c r="I11" s="2">
        <v>50</v>
      </c>
      <c r="J11" s="2" t="s">
        <v>117</v>
      </c>
      <c r="K11" s="2"/>
      <c r="L11" s="2"/>
      <c r="M11" s="2"/>
      <c r="N11" s="2"/>
      <c r="O11" s="2"/>
      <c r="P11" s="2"/>
      <c r="Q11" s="2"/>
    </row>
    <row r="12" spans="1:17" ht="30" x14ac:dyDescent="0.25">
      <c r="A12" s="2" t="s">
        <v>18</v>
      </c>
      <c r="B12" s="2" t="s">
        <v>35</v>
      </c>
      <c r="C12" s="2" t="s">
        <v>20</v>
      </c>
      <c r="D12" s="2" t="s">
        <v>44</v>
      </c>
      <c r="E12" s="2" t="s">
        <v>45</v>
      </c>
      <c r="F12" s="3">
        <v>212.13554937207579</v>
      </c>
      <c r="G12" s="2">
        <v>11114</v>
      </c>
      <c r="H12" s="3">
        <v>1.9115632662778941</v>
      </c>
      <c r="I12" s="2">
        <v>48</v>
      </c>
      <c r="J12" s="2" t="s">
        <v>120</v>
      </c>
      <c r="K12" s="2"/>
      <c r="L12" s="2"/>
      <c r="M12" s="2"/>
      <c r="N12" s="2"/>
      <c r="O12" s="2"/>
      <c r="P12" s="2"/>
      <c r="Q12" s="2"/>
    </row>
    <row r="13" spans="1:17" x14ac:dyDescent="0.25">
      <c r="A13" s="2" t="s">
        <v>18</v>
      </c>
      <c r="B13" s="2" t="s">
        <v>35</v>
      </c>
      <c r="C13" s="2" t="s">
        <v>20</v>
      </c>
      <c r="D13" s="2" t="s">
        <v>44</v>
      </c>
      <c r="E13" s="2" t="s">
        <v>45</v>
      </c>
      <c r="F13" s="3">
        <v>467.17645019911532</v>
      </c>
      <c r="G13" s="2">
        <v>11114</v>
      </c>
      <c r="H13" s="3">
        <v>4.2097486428565869</v>
      </c>
      <c r="I13" s="2">
        <v>48</v>
      </c>
      <c r="J13" s="2" t="s">
        <v>46</v>
      </c>
      <c r="K13" s="2"/>
      <c r="L13" s="2"/>
      <c r="M13" s="2"/>
      <c r="N13" s="2"/>
      <c r="O13" s="2"/>
      <c r="P13" s="2"/>
      <c r="Q13" s="2"/>
    </row>
    <row r="14" spans="1:17" x14ac:dyDescent="0.25">
      <c r="A14" s="2" t="s">
        <v>18</v>
      </c>
      <c r="B14" s="2" t="s">
        <v>35</v>
      </c>
      <c r="C14" s="2" t="s">
        <v>20</v>
      </c>
      <c r="D14" s="2" t="s">
        <v>47</v>
      </c>
      <c r="E14" s="2" t="s">
        <v>48</v>
      </c>
      <c r="F14" s="3">
        <v>158.3647645314912</v>
      </c>
      <c r="G14" s="2">
        <v>1453</v>
      </c>
      <c r="H14" s="3">
        <v>10.778739779624379</v>
      </c>
      <c r="I14" s="2">
        <v>48</v>
      </c>
      <c r="J14" s="2" t="s">
        <v>49</v>
      </c>
      <c r="K14" s="2"/>
      <c r="L14" s="2"/>
      <c r="M14" s="2"/>
      <c r="N14" s="2"/>
      <c r="O14" s="2"/>
      <c r="P14" s="2"/>
      <c r="Q14" s="2"/>
    </row>
    <row r="15" spans="1:17" x14ac:dyDescent="0.25">
      <c r="A15" s="2" t="s">
        <v>18</v>
      </c>
      <c r="B15" s="2" t="s">
        <v>35</v>
      </c>
      <c r="C15" s="2" t="s">
        <v>20</v>
      </c>
      <c r="D15" s="2" t="s">
        <v>50</v>
      </c>
      <c r="E15" s="2" t="s">
        <v>51</v>
      </c>
      <c r="F15" s="3">
        <v>175.0933281144508</v>
      </c>
      <c r="G15" s="2">
        <v>3042</v>
      </c>
      <c r="H15" s="3">
        <v>5.7957427435644471</v>
      </c>
      <c r="I15" s="2">
        <v>48</v>
      </c>
      <c r="J15" s="2" t="s">
        <v>49</v>
      </c>
      <c r="K15" s="2"/>
      <c r="L15" s="2"/>
      <c r="M15" s="2"/>
      <c r="N15" s="2"/>
      <c r="O15" s="2"/>
      <c r="P15" s="2"/>
      <c r="Q15" s="2"/>
    </row>
    <row r="16" spans="1:17" x14ac:dyDescent="0.25">
      <c r="A16" s="2" t="s">
        <v>18</v>
      </c>
      <c r="B16" s="2" t="s">
        <v>35</v>
      </c>
      <c r="C16" s="2" t="s">
        <v>20</v>
      </c>
      <c r="D16" s="2" t="s">
        <v>52</v>
      </c>
      <c r="E16" s="2" t="s">
        <v>53</v>
      </c>
      <c r="F16" s="3">
        <v>55.570351746079062</v>
      </c>
      <c r="G16" s="2">
        <v>5181</v>
      </c>
      <c r="H16" s="3">
        <v>1.0669842760131689</v>
      </c>
      <c r="I16" s="2">
        <v>48</v>
      </c>
      <c r="J16" s="2" t="s">
        <v>49</v>
      </c>
      <c r="K16" s="2"/>
      <c r="L16" s="2"/>
      <c r="M16" s="2"/>
      <c r="N16" s="2"/>
      <c r="O16" s="2"/>
      <c r="P16" s="2"/>
      <c r="Q16" s="2"/>
    </row>
    <row r="17" spans="1:17" x14ac:dyDescent="0.25">
      <c r="A17" s="2" t="s">
        <v>54</v>
      </c>
      <c r="B17" s="2" t="s">
        <v>54</v>
      </c>
      <c r="C17" s="2" t="s">
        <v>55</v>
      </c>
      <c r="D17" s="2" t="s">
        <v>39</v>
      </c>
      <c r="E17" s="2" t="s">
        <v>56</v>
      </c>
      <c r="F17" s="3">
        <v>241.1546635251984</v>
      </c>
      <c r="G17" s="2">
        <v>5263</v>
      </c>
      <c r="H17" s="3">
        <v>4.5857621891147691</v>
      </c>
      <c r="I17" s="2">
        <v>42</v>
      </c>
      <c r="J17" s="2" t="s">
        <v>115</v>
      </c>
      <c r="K17" s="2"/>
      <c r="L17" s="2"/>
      <c r="M17" s="2"/>
      <c r="N17" s="2"/>
      <c r="O17" s="2"/>
      <c r="P17" s="2"/>
      <c r="Q17" s="2"/>
    </row>
    <row r="18" spans="1:17" x14ac:dyDescent="0.25">
      <c r="A18" s="2" t="s">
        <v>54</v>
      </c>
      <c r="B18" s="2" t="s">
        <v>54</v>
      </c>
      <c r="C18" s="2" t="s">
        <v>55</v>
      </c>
      <c r="D18" s="2" t="s">
        <v>57</v>
      </c>
      <c r="E18" s="2" t="s">
        <v>58</v>
      </c>
      <c r="F18" s="3">
        <v>136.62417274795141</v>
      </c>
      <c r="G18" s="2">
        <v>2647</v>
      </c>
      <c r="H18" s="3">
        <v>5.1666423235925629</v>
      </c>
      <c r="I18" s="2">
        <v>42</v>
      </c>
      <c r="J18" s="2" t="s">
        <v>115</v>
      </c>
      <c r="K18" s="2"/>
      <c r="L18" s="2"/>
      <c r="M18" s="2"/>
      <c r="N18" s="2"/>
      <c r="O18" s="2"/>
      <c r="P18" s="2"/>
      <c r="Q18" s="2"/>
    </row>
    <row r="20" spans="1:17" ht="15.75" thickBot="1" x14ac:dyDescent="0.3">
      <c r="A20" s="4"/>
      <c r="B20" s="4"/>
      <c r="C20" s="4"/>
      <c r="D20" s="4"/>
      <c r="E20" s="4" t="s">
        <v>59</v>
      </c>
      <c r="F20" s="5">
        <f>SUBTOTAL(109,F2:F18)</f>
        <v>2872.9208071878625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</sheetData>
  <autoFilter ref="A1:Q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R36"/>
  <sheetViews>
    <sheetView showGridLines="0" workbookViewId="0">
      <pane ySplit="1" topLeftCell="A9" activePane="bottomLeft" state="frozen"/>
      <selection activeCell="D24" sqref="D24"/>
      <selection pane="bottomLeft" activeCell="K12" sqref="K12:K21"/>
    </sheetView>
  </sheetViews>
  <sheetFormatPr baseColWidth="10" defaultColWidth="9.140625" defaultRowHeight="15" x14ac:dyDescent="0.25"/>
  <cols>
    <col min="1" max="2" width="17" customWidth="1"/>
    <col min="3" max="4" width="12" customWidth="1"/>
    <col min="5" max="5" width="24" customWidth="1"/>
    <col min="6" max="6" width="25" customWidth="1"/>
    <col min="7" max="7" width="32" customWidth="1"/>
    <col min="8" max="8" width="26" customWidth="1"/>
    <col min="9" max="9" width="12" customWidth="1"/>
    <col min="10" max="10" width="20" customWidth="1"/>
    <col min="11" max="11" width="27" customWidth="1"/>
    <col min="12" max="16" width="12" customWidth="1"/>
    <col min="17" max="17" width="20" customWidth="1"/>
    <col min="18" max="18" width="19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 s="2" t="s">
        <v>18</v>
      </c>
      <c r="B2" s="2" t="s">
        <v>31</v>
      </c>
      <c r="C2" s="2" t="s">
        <v>60</v>
      </c>
      <c r="D2" s="2" t="s">
        <v>61</v>
      </c>
      <c r="E2" s="2" t="s">
        <v>62</v>
      </c>
      <c r="F2" s="3">
        <v>18.792549546778101</v>
      </c>
      <c r="G2" s="2">
        <v>3670</v>
      </c>
      <c r="H2" s="3">
        <v>0.51307471410848793</v>
      </c>
      <c r="I2" s="2">
        <v>46</v>
      </c>
      <c r="J2" s="2"/>
      <c r="K2" s="2"/>
      <c r="L2" s="2"/>
      <c r="M2" s="2"/>
      <c r="N2" s="2"/>
      <c r="O2" s="2"/>
      <c r="P2" s="2"/>
      <c r="Q2" s="2"/>
      <c r="R2" s="2"/>
    </row>
    <row r="3" spans="1:18" hidden="1" x14ac:dyDescent="0.25">
      <c r="A3" s="2" t="s">
        <v>18</v>
      </c>
      <c r="B3" s="2" t="s">
        <v>31</v>
      </c>
      <c r="C3" s="2" t="s">
        <v>60</v>
      </c>
      <c r="D3" s="2" t="s">
        <v>63</v>
      </c>
      <c r="E3" s="2" t="s">
        <v>64</v>
      </c>
      <c r="F3" s="3">
        <v>249.00799349394291</v>
      </c>
      <c r="G3" s="2">
        <v>1793</v>
      </c>
      <c r="H3" s="3">
        <v>13.90537884593309</v>
      </c>
      <c r="I3" s="2">
        <v>46</v>
      </c>
      <c r="J3" s="2"/>
      <c r="K3" s="2"/>
      <c r="L3" s="2"/>
      <c r="M3" s="2"/>
      <c r="N3" s="2"/>
      <c r="O3" s="2"/>
      <c r="P3" s="2"/>
      <c r="Q3" s="2"/>
      <c r="R3" s="2"/>
    </row>
    <row r="4" spans="1:18" hidden="1" x14ac:dyDescent="0.25">
      <c r="A4" s="2" t="s">
        <v>18</v>
      </c>
      <c r="B4" s="2" t="s">
        <v>31</v>
      </c>
      <c r="C4" s="2" t="s">
        <v>32</v>
      </c>
      <c r="D4" s="2" t="s">
        <v>65</v>
      </c>
      <c r="E4" s="2" t="s">
        <v>66</v>
      </c>
      <c r="F4" s="3">
        <v>116.1002749151511</v>
      </c>
      <c r="G4" s="2">
        <v>905</v>
      </c>
      <c r="H4" s="3">
        <v>12.892244898003071</v>
      </c>
      <c r="I4" s="2">
        <v>47</v>
      </c>
      <c r="J4" s="2"/>
      <c r="K4" s="2"/>
      <c r="L4" s="2"/>
      <c r="M4" s="2"/>
      <c r="N4" s="2"/>
      <c r="O4" s="2"/>
      <c r="P4" s="2"/>
      <c r="Q4" s="2"/>
      <c r="R4" s="2"/>
    </row>
    <row r="5" spans="1:18" hidden="1" x14ac:dyDescent="0.25">
      <c r="A5" s="2" t="s">
        <v>18</v>
      </c>
      <c r="B5" s="2" t="s">
        <v>31</v>
      </c>
      <c r="C5" s="2" t="s">
        <v>32</v>
      </c>
      <c r="D5" s="2" t="s">
        <v>33</v>
      </c>
      <c r="E5" s="2" t="s">
        <v>34</v>
      </c>
      <c r="F5" s="3">
        <v>7.495935291199177</v>
      </c>
      <c r="G5" s="2">
        <v>905</v>
      </c>
      <c r="H5" s="3">
        <v>0.83135360458857166</v>
      </c>
      <c r="I5" s="2">
        <v>47</v>
      </c>
      <c r="J5" s="2"/>
      <c r="K5" s="2"/>
      <c r="L5" s="2"/>
      <c r="M5" s="2"/>
      <c r="N5" s="2"/>
      <c r="O5" s="2"/>
      <c r="P5" s="2"/>
      <c r="Q5" s="2"/>
      <c r="R5" s="2"/>
    </row>
    <row r="6" spans="1:18" hidden="1" x14ac:dyDescent="0.25">
      <c r="A6" s="2" t="s">
        <v>18</v>
      </c>
      <c r="B6" s="2" t="s">
        <v>35</v>
      </c>
      <c r="C6" s="2" t="s">
        <v>36</v>
      </c>
      <c r="D6" s="2" t="s">
        <v>37</v>
      </c>
      <c r="E6" s="2" t="s">
        <v>38</v>
      </c>
      <c r="F6" s="3">
        <v>74.915696446199945</v>
      </c>
      <c r="G6" s="2">
        <v>314996</v>
      </c>
      <c r="H6" s="3">
        <v>2.4143887172392371E-2</v>
      </c>
      <c r="I6" s="2">
        <v>51</v>
      </c>
      <c r="J6" s="2"/>
      <c r="K6" s="2"/>
      <c r="L6" s="2"/>
      <c r="M6" s="2"/>
      <c r="N6" s="2"/>
      <c r="O6" s="2"/>
      <c r="P6" s="2"/>
      <c r="Q6" s="2"/>
      <c r="R6" s="2"/>
    </row>
    <row r="7" spans="1:18" hidden="1" x14ac:dyDescent="0.25">
      <c r="A7" s="2" t="s">
        <v>18</v>
      </c>
      <c r="B7" s="2" t="s">
        <v>35</v>
      </c>
      <c r="C7" s="2" t="s">
        <v>36</v>
      </c>
      <c r="D7" s="2" t="s">
        <v>37</v>
      </c>
      <c r="E7" s="2" t="s">
        <v>38</v>
      </c>
      <c r="F7" s="3">
        <v>212.77830942391489</v>
      </c>
      <c r="G7" s="2">
        <v>314996</v>
      </c>
      <c r="H7" s="3">
        <v>6.8574354096176571E-2</v>
      </c>
      <c r="I7" s="2">
        <v>51</v>
      </c>
      <c r="J7" s="2"/>
      <c r="K7" s="2"/>
      <c r="L7" s="2"/>
      <c r="M7" s="2"/>
      <c r="N7" s="2"/>
      <c r="O7" s="2"/>
      <c r="P7" s="2"/>
      <c r="Q7" s="2"/>
      <c r="R7" s="2"/>
    </row>
    <row r="8" spans="1:18" hidden="1" x14ac:dyDescent="0.25">
      <c r="A8" s="2" t="s">
        <v>18</v>
      </c>
      <c r="B8" s="2" t="s">
        <v>35</v>
      </c>
      <c r="C8" s="2" t="s">
        <v>39</v>
      </c>
      <c r="D8" s="2" t="s">
        <v>40</v>
      </c>
      <c r="E8" s="2" t="s">
        <v>41</v>
      </c>
      <c r="F8" s="3">
        <v>18.16419721295361</v>
      </c>
      <c r="G8" s="2">
        <v>2463</v>
      </c>
      <c r="H8" s="3">
        <v>0.73811423024130607</v>
      </c>
      <c r="I8" s="2">
        <v>50</v>
      </c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 t="s">
        <v>18</v>
      </c>
      <c r="B9" s="2" t="s">
        <v>35</v>
      </c>
      <c r="C9" s="2" t="s">
        <v>39</v>
      </c>
      <c r="D9" s="2" t="s">
        <v>40</v>
      </c>
      <c r="E9" s="2" t="s">
        <v>41</v>
      </c>
      <c r="F9" s="3">
        <v>12.403639147776881</v>
      </c>
      <c r="G9" s="2">
        <v>2463</v>
      </c>
      <c r="H9" s="3">
        <v>0.50403012334744179</v>
      </c>
      <c r="I9" s="2">
        <v>50</v>
      </c>
      <c r="J9" s="2"/>
      <c r="K9" s="2" t="s">
        <v>114</v>
      </c>
      <c r="L9" s="2"/>
      <c r="M9" s="2"/>
      <c r="N9" s="2"/>
      <c r="O9" s="2"/>
      <c r="P9" s="2"/>
      <c r="Q9" s="2"/>
      <c r="R9" s="2"/>
    </row>
    <row r="10" spans="1:18" hidden="1" x14ac:dyDescent="0.25">
      <c r="A10" s="2" t="s">
        <v>18</v>
      </c>
      <c r="B10" s="2" t="s">
        <v>35</v>
      </c>
      <c r="C10" s="2" t="s">
        <v>39</v>
      </c>
      <c r="D10" s="2" t="s">
        <v>42</v>
      </c>
      <c r="E10" s="2" t="s">
        <v>43</v>
      </c>
      <c r="F10" s="3">
        <v>13.430994996866961</v>
      </c>
      <c r="G10" s="2">
        <v>2585</v>
      </c>
      <c r="H10" s="3">
        <v>0.51988669969689216</v>
      </c>
      <c r="I10" s="2">
        <v>50</v>
      </c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 t="s">
        <v>18</v>
      </c>
      <c r="B11" s="2" t="s">
        <v>35</v>
      </c>
      <c r="C11" s="2" t="s">
        <v>39</v>
      </c>
      <c r="D11" s="2" t="s">
        <v>42</v>
      </c>
      <c r="E11" s="2" t="s">
        <v>43</v>
      </c>
      <c r="F11" s="3">
        <v>8.3329712074400284</v>
      </c>
      <c r="G11" s="2">
        <v>2585</v>
      </c>
      <c r="H11" s="3">
        <v>0.32255249151055398</v>
      </c>
      <c r="I11" s="2">
        <v>50</v>
      </c>
      <c r="J11" s="2"/>
      <c r="K11" s="2" t="s">
        <v>114</v>
      </c>
      <c r="L11" s="2"/>
      <c r="M11" s="2"/>
      <c r="N11" s="2"/>
      <c r="O11" s="2"/>
      <c r="P11" s="2"/>
      <c r="Q11" s="2"/>
      <c r="R11" s="2"/>
    </row>
    <row r="12" spans="1:18" x14ac:dyDescent="0.25">
      <c r="A12" s="2" t="s">
        <v>18</v>
      </c>
      <c r="B12" s="2" t="s">
        <v>35</v>
      </c>
      <c r="C12" s="2" t="s">
        <v>20</v>
      </c>
      <c r="D12" s="2" t="s">
        <v>44</v>
      </c>
      <c r="E12" s="2" t="s">
        <v>45</v>
      </c>
      <c r="F12" s="3">
        <v>1259.6107964342621</v>
      </c>
      <c r="G12" s="2">
        <v>11114</v>
      </c>
      <c r="H12" s="3">
        <v>11.35041126014934</v>
      </c>
      <c r="I12" s="2">
        <v>47</v>
      </c>
      <c r="J12" s="2"/>
      <c r="K12" s="2" t="s">
        <v>67</v>
      </c>
      <c r="L12" s="2"/>
      <c r="M12" s="2"/>
      <c r="N12" s="2"/>
      <c r="O12" s="2"/>
      <c r="P12" s="2"/>
      <c r="Q12" s="2"/>
      <c r="R12" s="2"/>
    </row>
    <row r="13" spans="1:18" x14ac:dyDescent="0.25">
      <c r="A13" s="2" t="s">
        <v>18</v>
      </c>
      <c r="B13" s="2" t="s">
        <v>35</v>
      </c>
      <c r="C13" s="2" t="s">
        <v>20</v>
      </c>
      <c r="D13" s="2" t="s">
        <v>44</v>
      </c>
      <c r="E13" s="2" t="s">
        <v>45</v>
      </c>
      <c r="F13" s="3">
        <v>406.72707740482241</v>
      </c>
      <c r="G13" s="2">
        <v>11114</v>
      </c>
      <c r="H13" s="3">
        <v>3.6650365432337439</v>
      </c>
      <c r="I13" s="2">
        <v>48</v>
      </c>
      <c r="J13" s="2"/>
      <c r="K13" s="2" t="s">
        <v>68</v>
      </c>
      <c r="L13" s="2"/>
      <c r="M13" s="2"/>
      <c r="N13" s="2"/>
      <c r="O13" s="2"/>
      <c r="P13" s="2"/>
      <c r="Q13" s="2"/>
      <c r="R13" s="2"/>
    </row>
    <row r="14" spans="1:18" x14ac:dyDescent="0.25">
      <c r="A14" s="2" t="s">
        <v>18</v>
      </c>
      <c r="B14" s="2" t="s">
        <v>35</v>
      </c>
      <c r="C14" s="2" t="s">
        <v>20</v>
      </c>
      <c r="D14" s="2" t="s">
        <v>69</v>
      </c>
      <c r="E14" s="2" t="s">
        <v>70</v>
      </c>
      <c r="F14" s="3">
        <v>27.017538043888859</v>
      </c>
      <c r="G14" s="2">
        <v>6685</v>
      </c>
      <c r="H14" s="3">
        <v>0.40208829329819401</v>
      </c>
      <c r="I14" s="2">
        <v>48</v>
      </c>
      <c r="J14" s="2"/>
      <c r="K14" s="2" t="s">
        <v>112</v>
      </c>
      <c r="L14" s="2"/>
      <c r="M14" s="2"/>
      <c r="N14" s="2"/>
      <c r="O14" s="2"/>
      <c r="P14" s="2"/>
      <c r="Q14" s="2"/>
      <c r="R14" s="2"/>
    </row>
    <row r="15" spans="1:18" x14ac:dyDescent="0.25">
      <c r="A15" s="2" t="s">
        <v>18</v>
      </c>
      <c r="B15" s="2" t="s">
        <v>35</v>
      </c>
      <c r="C15" s="2" t="s">
        <v>20</v>
      </c>
      <c r="D15" s="2" t="s">
        <v>71</v>
      </c>
      <c r="E15" s="2" t="s">
        <v>72</v>
      </c>
      <c r="F15" s="3">
        <v>1271.2365674288019</v>
      </c>
      <c r="G15" s="2">
        <v>2446</v>
      </c>
      <c r="H15" s="3">
        <v>51.376056767077102</v>
      </c>
      <c r="I15" s="2">
        <v>48</v>
      </c>
      <c r="J15" s="2"/>
      <c r="K15" s="2" t="s">
        <v>112</v>
      </c>
      <c r="L15" s="2"/>
      <c r="M15" s="2"/>
      <c r="N15" s="2"/>
      <c r="O15" s="2"/>
      <c r="P15" s="2"/>
      <c r="Q15" s="2"/>
      <c r="R15" s="2"/>
    </row>
    <row r="16" spans="1:18" x14ac:dyDescent="0.25">
      <c r="A16" s="2" t="s">
        <v>18</v>
      </c>
      <c r="B16" s="2" t="s">
        <v>35</v>
      </c>
      <c r="C16" s="2" t="s">
        <v>20</v>
      </c>
      <c r="D16" s="2" t="s">
        <v>73</v>
      </c>
      <c r="E16" s="2" t="s">
        <v>74</v>
      </c>
      <c r="F16" s="3">
        <v>1430.3339344678</v>
      </c>
      <c r="G16" s="2">
        <v>3945</v>
      </c>
      <c r="H16" s="3">
        <v>35.666321521361652</v>
      </c>
      <c r="I16" s="2">
        <v>47</v>
      </c>
      <c r="J16" s="2"/>
      <c r="K16" s="2" t="s">
        <v>113</v>
      </c>
      <c r="L16" s="2"/>
      <c r="M16" s="2"/>
      <c r="N16" s="2"/>
      <c r="O16" s="2"/>
      <c r="P16" s="2"/>
      <c r="Q16" s="2"/>
      <c r="R16" s="2"/>
    </row>
    <row r="17" spans="1:18" x14ac:dyDescent="0.25">
      <c r="A17" s="2" t="s">
        <v>18</v>
      </c>
      <c r="B17" s="2" t="s">
        <v>35</v>
      </c>
      <c r="C17" s="2" t="s">
        <v>20</v>
      </c>
      <c r="D17" s="2" t="s">
        <v>75</v>
      </c>
      <c r="E17" s="2" t="s">
        <v>76</v>
      </c>
      <c r="F17" s="3">
        <v>590.43273703987768</v>
      </c>
      <c r="G17" s="2">
        <v>4106</v>
      </c>
      <c r="H17" s="3">
        <v>14.61858401790859</v>
      </c>
      <c r="I17" s="2">
        <v>48</v>
      </c>
      <c r="J17" s="2"/>
      <c r="K17" s="2" t="s">
        <v>112</v>
      </c>
      <c r="L17" s="2"/>
      <c r="M17" s="2"/>
      <c r="N17" s="2"/>
      <c r="O17" s="2"/>
      <c r="P17" s="2"/>
      <c r="Q17" s="2"/>
      <c r="R17" s="2"/>
    </row>
    <row r="18" spans="1:18" x14ac:dyDescent="0.25">
      <c r="A18" s="2" t="s">
        <v>18</v>
      </c>
      <c r="B18" s="2" t="s">
        <v>35</v>
      </c>
      <c r="C18" s="2" t="s">
        <v>20</v>
      </c>
      <c r="D18" s="2" t="s">
        <v>47</v>
      </c>
      <c r="E18" s="2" t="s">
        <v>48</v>
      </c>
      <c r="F18" s="3">
        <v>115.2382735221873</v>
      </c>
      <c r="G18" s="2">
        <v>1453</v>
      </c>
      <c r="H18" s="3">
        <v>7.8434326387157691</v>
      </c>
      <c r="I18" s="2">
        <v>48</v>
      </c>
      <c r="J18" s="2"/>
      <c r="K18" s="2" t="s">
        <v>68</v>
      </c>
      <c r="L18" s="2"/>
      <c r="M18" s="2"/>
      <c r="N18" s="2"/>
      <c r="O18" s="2"/>
      <c r="P18" s="2"/>
      <c r="Q18" s="2"/>
      <c r="R18" s="2"/>
    </row>
    <row r="19" spans="1:18" x14ac:dyDescent="0.25">
      <c r="A19" s="2" t="s">
        <v>18</v>
      </c>
      <c r="B19" s="2" t="s">
        <v>35</v>
      </c>
      <c r="C19" s="2" t="s">
        <v>20</v>
      </c>
      <c r="D19" s="2" t="s">
        <v>50</v>
      </c>
      <c r="E19" s="2" t="s">
        <v>51</v>
      </c>
      <c r="F19" s="3">
        <v>146.78503594370881</v>
      </c>
      <c r="G19" s="2">
        <v>3042</v>
      </c>
      <c r="H19" s="3">
        <v>4.8587134421164997</v>
      </c>
      <c r="I19" s="2">
        <v>48</v>
      </c>
      <c r="J19" s="2"/>
      <c r="K19" s="2" t="s">
        <v>68</v>
      </c>
      <c r="L19" s="2"/>
      <c r="M19" s="2"/>
      <c r="N19" s="2"/>
      <c r="O19" s="2"/>
      <c r="P19" s="2"/>
      <c r="Q19" s="2"/>
      <c r="R19" s="2"/>
    </row>
    <row r="20" spans="1:18" x14ac:dyDescent="0.25">
      <c r="A20" s="2" t="s">
        <v>18</v>
      </c>
      <c r="B20" s="2" t="s">
        <v>35</v>
      </c>
      <c r="C20" s="2" t="s">
        <v>20</v>
      </c>
      <c r="D20" s="2" t="s">
        <v>52</v>
      </c>
      <c r="E20" s="2" t="s">
        <v>53</v>
      </c>
      <c r="F20" s="3">
        <v>423.67629536625992</v>
      </c>
      <c r="G20" s="2">
        <v>5181</v>
      </c>
      <c r="H20" s="3">
        <v>8.1348404512700725</v>
      </c>
      <c r="I20" s="2">
        <v>48</v>
      </c>
      <c r="J20" s="2"/>
      <c r="K20" s="2" t="s">
        <v>68</v>
      </c>
      <c r="L20" s="2"/>
      <c r="M20" s="2"/>
      <c r="N20" s="2"/>
      <c r="O20" s="2"/>
      <c r="P20" s="2"/>
      <c r="Q20" s="2"/>
      <c r="R20" s="2"/>
    </row>
    <row r="21" spans="1:18" x14ac:dyDescent="0.25">
      <c r="A21" s="2" t="s">
        <v>18</v>
      </c>
      <c r="B21" s="2" t="s">
        <v>35</v>
      </c>
      <c r="C21" s="2" t="s">
        <v>20</v>
      </c>
      <c r="D21" s="2" t="s">
        <v>77</v>
      </c>
      <c r="E21" s="2" t="s">
        <v>78</v>
      </c>
      <c r="F21" s="3">
        <v>78.831939513992694</v>
      </c>
      <c r="G21" s="2">
        <v>14956</v>
      </c>
      <c r="H21" s="3">
        <v>0.52529038409843309</v>
      </c>
      <c r="I21" s="2">
        <v>48</v>
      </c>
      <c r="J21" s="2"/>
      <c r="K21" s="2" t="s">
        <v>112</v>
      </c>
      <c r="L21" s="2"/>
      <c r="M21" s="2"/>
      <c r="N21" s="2"/>
      <c r="O21" s="2"/>
      <c r="P21" s="2"/>
      <c r="Q21" s="2"/>
      <c r="R21" s="2"/>
    </row>
    <row r="22" spans="1:18" x14ac:dyDescent="0.25">
      <c r="A22" s="2" t="s">
        <v>18</v>
      </c>
      <c r="B22" s="2" t="s">
        <v>35</v>
      </c>
      <c r="C22" s="2" t="s">
        <v>55</v>
      </c>
      <c r="D22" s="2" t="s">
        <v>79</v>
      </c>
      <c r="E22" s="2" t="s">
        <v>80</v>
      </c>
      <c r="F22" s="3">
        <v>14.33255841094879</v>
      </c>
      <c r="G22" s="2">
        <v>20000</v>
      </c>
      <c r="H22" s="3">
        <v>7.1968425744515674E-2</v>
      </c>
      <c r="I22" s="2">
        <v>47</v>
      </c>
      <c r="J22" s="2"/>
      <c r="K22" s="2" t="s">
        <v>113</v>
      </c>
      <c r="L22" s="2"/>
      <c r="M22" s="2"/>
      <c r="N22" s="2"/>
      <c r="O22" s="2"/>
      <c r="P22" s="2"/>
      <c r="Q22" s="2"/>
      <c r="R22" s="2"/>
    </row>
    <row r="23" spans="1:18" x14ac:dyDescent="0.25">
      <c r="A23" s="2" t="s">
        <v>18</v>
      </c>
      <c r="B23" s="2" t="s">
        <v>35</v>
      </c>
      <c r="C23" s="2" t="s">
        <v>55</v>
      </c>
      <c r="D23" s="2" t="s">
        <v>81</v>
      </c>
      <c r="E23" s="2" t="s">
        <v>82</v>
      </c>
      <c r="F23" s="3">
        <v>46.198636975632382</v>
      </c>
      <c r="G23" s="2">
        <v>53298</v>
      </c>
      <c r="H23" s="3">
        <v>8.6776277175733246E-2</v>
      </c>
      <c r="I23" s="2">
        <v>47</v>
      </c>
      <c r="J23" s="2"/>
      <c r="K23" s="2" t="s">
        <v>113</v>
      </c>
      <c r="L23" s="2"/>
      <c r="M23" s="2"/>
      <c r="N23" s="2"/>
      <c r="O23" s="2"/>
      <c r="P23" s="2"/>
      <c r="Q23" s="2"/>
      <c r="R23" s="2"/>
    </row>
    <row r="24" spans="1:18" hidden="1" x14ac:dyDescent="0.25">
      <c r="A24" s="2" t="s">
        <v>18</v>
      </c>
      <c r="B24" s="2" t="s">
        <v>35</v>
      </c>
      <c r="C24" s="2" t="s">
        <v>55</v>
      </c>
      <c r="D24" s="2" t="s">
        <v>83</v>
      </c>
      <c r="E24" s="2" t="s">
        <v>84</v>
      </c>
      <c r="F24" s="3">
        <v>686.42816359883318</v>
      </c>
      <c r="G24" s="2">
        <v>773</v>
      </c>
      <c r="H24" s="3">
        <v>90.254383027729773</v>
      </c>
      <c r="I24" s="2">
        <v>46</v>
      </c>
      <c r="J24" s="2"/>
      <c r="K24" s="2"/>
      <c r="L24" s="2"/>
      <c r="M24" s="2"/>
      <c r="N24" s="2"/>
      <c r="O24" s="2"/>
      <c r="P24" s="2"/>
      <c r="Q24" s="2"/>
      <c r="R24" s="2"/>
    </row>
    <row r="25" spans="1:18" hidden="1" x14ac:dyDescent="0.25">
      <c r="A25" s="2" t="s">
        <v>18</v>
      </c>
      <c r="B25" s="2" t="s">
        <v>35</v>
      </c>
      <c r="C25" s="2" t="s">
        <v>55</v>
      </c>
      <c r="D25" s="2" t="s">
        <v>85</v>
      </c>
      <c r="E25" s="2" t="s">
        <v>86</v>
      </c>
      <c r="F25" s="3">
        <v>27.85945224083537</v>
      </c>
      <c r="G25" s="2">
        <v>4343</v>
      </c>
      <c r="H25" s="3">
        <v>0.63345991140948754</v>
      </c>
      <c r="I25" s="2">
        <v>46</v>
      </c>
      <c r="J25" s="2"/>
      <c r="K25" s="2"/>
      <c r="L25" s="2"/>
      <c r="M25" s="2"/>
      <c r="N25" s="2"/>
      <c r="O25" s="2"/>
      <c r="P25" s="2"/>
      <c r="Q25" s="2"/>
      <c r="R25" s="2"/>
    </row>
    <row r="26" spans="1:18" hidden="1" x14ac:dyDescent="0.25">
      <c r="A26" s="2" t="s">
        <v>18</v>
      </c>
      <c r="B26" s="2" t="s">
        <v>35</v>
      </c>
      <c r="C26" s="2" t="s">
        <v>55</v>
      </c>
      <c r="D26" s="2" t="s">
        <v>85</v>
      </c>
      <c r="E26" s="2" t="s">
        <v>86</v>
      </c>
      <c r="F26" s="3">
        <v>1325.980921374085</v>
      </c>
      <c r="G26" s="2">
        <v>4343</v>
      </c>
      <c r="H26" s="3">
        <v>30.149758499311851</v>
      </c>
      <c r="I26" s="2">
        <v>47</v>
      </c>
      <c r="J26" s="2"/>
      <c r="K26" s="2"/>
      <c r="L26" s="2"/>
      <c r="M26" s="2"/>
      <c r="N26" s="2"/>
      <c r="O26" s="2"/>
      <c r="P26" s="2"/>
      <c r="Q26" s="2"/>
      <c r="R26" s="2"/>
    </row>
    <row r="27" spans="1:18" hidden="1" x14ac:dyDescent="0.25">
      <c r="A27" s="2" t="s">
        <v>18</v>
      </c>
      <c r="B27" s="2" t="s">
        <v>35</v>
      </c>
      <c r="C27" s="2" t="s">
        <v>55</v>
      </c>
      <c r="D27" s="2" t="s">
        <v>87</v>
      </c>
      <c r="E27" s="2" t="s">
        <v>88</v>
      </c>
      <c r="F27" s="3">
        <v>9.2071008313519513</v>
      </c>
      <c r="G27" s="2">
        <v>5634</v>
      </c>
      <c r="H27" s="3">
        <v>0.16311044868308761</v>
      </c>
      <c r="I27" s="2">
        <v>47</v>
      </c>
      <c r="J27" s="2"/>
      <c r="K27" s="2"/>
      <c r="L27" s="2"/>
      <c r="M27" s="2"/>
      <c r="N27" s="2"/>
      <c r="O27" s="2"/>
      <c r="P27" s="2"/>
      <c r="Q27" s="2"/>
      <c r="R27" s="2"/>
    </row>
    <row r="28" spans="1:18" hidden="1" x14ac:dyDescent="0.25">
      <c r="A28" s="2" t="s">
        <v>18</v>
      </c>
      <c r="B28" s="2" t="s">
        <v>35</v>
      </c>
      <c r="C28" s="2" t="s">
        <v>55</v>
      </c>
      <c r="D28" s="2" t="s">
        <v>89</v>
      </c>
      <c r="E28" s="2" t="s">
        <v>90</v>
      </c>
      <c r="F28" s="3">
        <v>71.238659827978893</v>
      </c>
      <c r="G28" s="2">
        <v>8375</v>
      </c>
      <c r="H28" s="3">
        <v>0.84820481929268476</v>
      </c>
      <c r="I28" s="2">
        <v>47</v>
      </c>
      <c r="J28" s="2"/>
      <c r="K28" s="2"/>
      <c r="L28" s="2"/>
      <c r="M28" s="2"/>
      <c r="N28" s="2"/>
      <c r="O28" s="2"/>
      <c r="P28" s="2"/>
      <c r="Q28" s="2"/>
      <c r="R28" s="2"/>
    </row>
    <row r="29" spans="1:18" hidden="1" x14ac:dyDescent="0.25">
      <c r="A29" s="2" t="s">
        <v>18</v>
      </c>
      <c r="B29" s="2" t="s">
        <v>35</v>
      </c>
      <c r="C29" s="2" t="s">
        <v>55</v>
      </c>
      <c r="D29" s="2" t="s">
        <v>91</v>
      </c>
      <c r="E29" s="2" t="s">
        <v>92</v>
      </c>
      <c r="F29" s="3">
        <v>101.5991334787754</v>
      </c>
      <c r="G29" s="2">
        <v>8540</v>
      </c>
      <c r="H29" s="3">
        <v>1.18900818580731</v>
      </c>
      <c r="I29" s="2">
        <v>47</v>
      </c>
      <c r="J29" s="2"/>
      <c r="K29" s="2"/>
      <c r="L29" s="2"/>
      <c r="M29" s="2"/>
      <c r="N29" s="2"/>
      <c r="O29" s="2"/>
      <c r="P29" s="2"/>
      <c r="Q29" s="2"/>
      <c r="R29" s="2"/>
    </row>
    <row r="30" spans="1:18" hidden="1" x14ac:dyDescent="0.25">
      <c r="A30" s="2" t="s">
        <v>54</v>
      </c>
      <c r="B30" s="2" t="s">
        <v>54</v>
      </c>
      <c r="C30" s="2" t="s">
        <v>20</v>
      </c>
      <c r="D30" s="2" t="s">
        <v>93</v>
      </c>
      <c r="E30" s="2" t="s">
        <v>94</v>
      </c>
      <c r="F30" s="3">
        <v>16.403445581470699</v>
      </c>
      <c r="G30" s="2">
        <v>36639</v>
      </c>
      <c r="H30" s="3">
        <v>4.480493001865965E-2</v>
      </c>
      <c r="I30" s="2">
        <v>42</v>
      </c>
      <c r="J30" s="2"/>
      <c r="K30" s="2"/>
      <c r="L30" s="2"/>
      <c r="M30" s="2"/>
      <c r="N30" s="2"/>
      <c r="O30" s="2"/>
      <c r="P30" s="2"/>
      <c r="Q30" s="2"/>
      <c r="R30" s="2"/>
    </row>
    <row r="31" spans="1:18" hidden="1" x14ac:dyDescent="0.25">
      <c r="A31" s="2" t="s">
        <v>54</v>
      </c>
      <c r="B31" s="2" t="s">
        <v>54</v>
      </c>
      <c r="C31" s="2" t="s">
        <v>20</v>
      </c>
      <c r="D31" s="2" t="s">
        <v>93</v>
      </c>
      <c r="E31" s="2" t="s">
        <v>94</v>
      </c>
      <c r="F31" s="3">
        <v>197.2138037633319</v>
      </c>
      <c r="G31" s="2">
        <v>36639</v>
      </c>
      <c r="H31" s="3">
        <v>0.53867650137548306</v>
      </c>
      <c r="I31" s="2">
        <v>42</v>
      </c>
      <c r="J31" s="2"/>
      <c r="K31" s="2"/>
      <c r="L31" s="2"/>
      <c r="M31" s="2"/>
      <c r="N31" s="2"/>
      <c r="O31" s="2"/>
      <c r="P31" s="2"/>
      <c r="Q31" s="2"/>
      <c r="R31" s="2"/>
    </row>
    <row r="32" spans="1:18" hidden="1" x14ac:dyDescent="0.25">
      <c r="A32" s="2" t="s">
        <v>54</v>
      </c>
      <c r="B32" s="2" t="s">
        <v>54</v>
      </c>
      <c r="C32" s="2" t="s">
        <v>20</v>
      </c>
      <c r="D32" s="2" t="s">
        <v>95</v>
      </c>
      <c r="E32" s="2" t="s">
        <v>96</v>
      </c>
      <c r="F32" s="3">
        <v>625.35175865185886</v>
      </c>
      <c r="G32" s="2">
        <v>1731</v>
      </c>
      <c r="H32" s="3">
        <v>36.12879369963013</v>
      </c>
      <c r="I32" s="2">
        <v>42</v>
      </c>
      <c r="J32" s="2"/>
      <c r="K32" s="2"/>
      <c r="L32" s="2"/>
      <c r="M32" s="2"/>
      <c r="N32" s="2"/>
      <c r="O32" s="2"/>
      <c r="P32" s="2"/>
      <c r="Q32" s="2"/>
      <c r="R32" s="2"/>
    </row>
    <row r="33" spans="1:18" hidden="1" x14ac:dyDescent="0.25">
      <c r="A33" s="2" t="s">
        <v>54</v>
      </c>
      <c r="B33" s="2" t="s">
        <v>54</v>
      </c>
      <c r="C33" s="2" t="s">
        <v>55</v>
      </c>
      <c r="D33" s="2" t="s">
        <v>39</v>
      </c>
      <c r="E33" s="2" t="s">
        <v>56</v>
      </c>
      <c r="F33" s="3">
        <v>8.8322592471582695</v>
      </c>
      <c r="G33" s="2">
        <v>5263</v>
      </c>
      <c r="H33" s="3">
        <v>0.16795296391125161</v>
      </c>
      <c r="I33" s="2">
        <v>42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hidden="1" x14ac:dyDescent="0.25">
      <c r="A34" s="2" t="s">
        <v>54</v>
      </c>
      <c r="B34" s="2" t="s">
        <v>54</v>
      </c>
      <c r="C34" s="2" t="s">
        <v>55</v>
      </c>
      <c r="D34" s="2" t="s">
        <v>97</v>
      </c>
      <c r="E34" s="2" t="s">
        <v>98</v>
      </c>
      <c r="F34" s="3">
        <v>10.24976364628502</v>
      </c>
      <c r="G34" s="2">
        <v>8179</v>
      </c>
      <c r="H34" s="3">
        <v>0.12542162172432189</v>
      </c>
      <c r="I34" s="2">
        <v>42</v>
      </c>
      <c r="J34" s="2"/>
      <c r="K34" s="2"/>
      <c r="L34" s="2"/>
      <c r="M34" s="2"/>
      <c r="N34" s="2"/>
      <c r="O34" s="2"/>
      <c r="P34" s="2"/>
      <c r="Q34" s="2"/>
      <c r="R34" s="2"/>
    </row>
    <row r="36" spans="1:18" x14ac:dyDescent="0.25">
      <c r="A36" s="4"/>
      <c r="B36" s="4"/>
      <c r="C36" s="4"/>
      <c r="D36" s="4"/>
      <c r="E36" s="4" t="s">
        <v>59</v>
      </c>
      <c r="F36" s="5">
        <f>SUBTOTAL(109,F2:F34)</f>
        <v>5831.1580009073996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</sheetData>
  <autoFilter ref="A1:R34" xr:uid="{00000000-0009-0000-0000-000001000000}">
    <filterColumn colId="10">
      <customFilters>
        <customFilter operator="notEqual" val=" "/>
      </custom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R9"/>
  <sheetViews>
    <sheetView showGridLines="0" workbookViewId="0">
      <pane ySplit="1" topLeftCell="A2" activePane="bottomLeft" state="frozen"/>
      <selection pane="bottomLeft" activeCell="D24" sqref="D24"/>
    </sheetView>
  </sheetViews>
  <sheetFormatPr baseColWidth="10" defaultColWidth="9.140625" defaultRowHeight="15" x14ac:dyDescent="0.25"/>
  <cols>
    <col min="1" max="2" width="17" customWidth="1"/>
    <col min="3" max="4" width="12" customWidth="1"/>
    <col min="5" max="5" width="24" customWidth="1"/>
    <col min="6" max="6" width="25" customWidth="1"/>
    <col min="7" max="7" width="32" customWidth="1"/>
    <col min="8" max="8" width="26" customWidth="1"/>
    <col min="9" max="9" width="12" customWidth="1"/>
    <col min="10" max="10" width="20" customWidth="1"/>
    <col min="11" max="16" width="12" customWidth="1"/>
    <col min="17" max="17" width="20" customWidth="1"/>
    <col min="18" max="18" width="19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31</v>
      </c>
      <c r="C2" s="2" t="s">
        <v>65</v>
      </c>
      <c r="D2" s="2" t="s">
        <v>99</v>
      </c>
      <c r="E2" s="2" t="s">
        <v>100</v>
      </c>
      <c r="F2" s="3">
        <v>41.027826222708732</v>
      </c>
      <c r="G2" s="2">
        <v>1544</v>
      </c>
      <c r="H2" s="3">
        <v>2.6694025376174522</v>
      </c>
      <c r="I2" s="2" t="s">
        <v>101</v>
      </c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2" t="s">
        <v>18</v>
      </c>
      <c r="B3" s="2" t="s">
        <v>31</v>
      </c>
      <c r="C3" s="2" t="s">
        <v>65</v>
      </c>
      <c r="D3" s="2" t="s">
        <v>102</v>
      </c>
      <c r="E3" s="2" t="s">
        <v>103</v>
      </c>
      <c r="F3" s="3">
        <v>60.661913854156047</v>
      </c>
      <c r="G3" s="2">
        <v>1989</v>
      </c>
      <c r="H3" s="3">
        <v>3.0530163956325622</v>
      </c>
      <c r="I3" s="2" t="s">
        <v>101</v>
      </c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" t="s">
        <v>18</v>
      </c>
      <c r="B4" s="2" t="s">
        <v>31</v>
      </c>
      <c r="C4" s="2" t="s">
        <v>65</v>
      </c>
      <c r="D4" s="2" t="s">
        <v>39</v>
      </c>
      <c r="E4" s="2" t="s">
        <v>104</v>
      </c>
      <c r="F4" s="3">
        <v>41.259756018306987</v>
      </c>
      <c r="G4" s="2">
        <v>3473</v>
      </c>
      <c r="H4" s="3">
        <v>1.1908295197161449</v>
      </c>
      <c r="I4" s="2" t="s">
        <v>101</v>
      </c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2" t="s">
        <v>18</v>
      </c>
      <c r="B5" s="2" t="s">
        <v>31</v>
      </c>
      <c r="C5" s="2" t="s">
        <v>65</v>
      </c>
      <c r="D5" s="2" t="s">
        <v>105</v>
      </c>
      <c r="E5" s="2" t="s">
        <v>106</v>
      </c>
      <c r="F5" s="3">
        <v>24.214946704495251</v>
      </c>
      <c r="G5" s="2">
        <v>489</v>
      </c>
      <c r="H5" s="3">
        <v>4.9846614757295127</v>
      </c>
      <c r="I5" s="2" t="s">
        <v>101</v>
      </c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2" t="s">
        <v>54</v>
      </c>
      <c r="B6" s="2" t="s">
        <v>54</v>
      </c>
      <c r="C6" s="2" t="s">
        <v>20</v>
      </c>
      <c r="D6" s="2" t="s">
        <v>107</v>
      </c>
      <c r="E6" s="2" t="s">
        <v>108</v>
      </c>
      <c r="F6" s="3">
        <v>289.17076035486969</v>
      </c>
      <c r="G6" s="2">
        <v>14380</v>
      </c>
      <c r="H6" s="3">
        <v>2.0124545059447558</v>
      </c>
      <c r="I6" s="2" t="s">
        <v>109</v>
      </c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 t="s">
        <v>54</v>
      </c>
      <c r="B7" s="2" t="s">
        <v>54</v>
      </c>
      <c r="C7" s="2" t="s">
        <v>20</v>
      </c>
      <c r="D7" s="2" t="s">
        <v>110</v>
      </c>
      <c r="E7" s="2" t="s">
        <v>111</v>
      </c>
      <c r="F7" s="3">
        <v>16.262397011576699</v>
      </c>
      <c r="G7" s="2">
        <v>13008</v>
      </c>
      <c r="H7" s="3">
        <v>0.12511328160800159</v>
      </c>
      <c r="I7" s="2" t="s">
        <v>109</v>
      </c>
      <c r="J7" s="2"/>
      <c r="K7" s="2"/>
      <c r="L7" s="2"/>
      <c r="M7" s="2"/>
      <c r="N7" s="2"/>
      <c r="O7" s="2"/>
      <c r="P7" s="2"/>
      <c r="Q7" s="2"/>
      <c r="R7" s="2"/>
    </row>
    <row r="9" spans="1:18" x14ac:dyDescent="0.25">
      <c r="A9" s="4"/>
      <c r="B9" s="4"/>
      <c r="C9" s="4"/>
      <c r="D9" s="4"/>
      <c r="E9" s="4" t="s">
        <v>59</v>
      </c>
      <c r="F9" s="5">
        <f>SUBTOTAL(109,F2:F7)</f>
        <v>472.59760016611335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</sheetData>
  <autoFilter ref="A1:R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Arbeitsflaechen</vt:lpstr>
      <vt:lpstr>Zuwegung temporaer</vt:lpstr>
      <vt:lpstr>Gerueste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GOMEZ ZUECO</cp:lastModifiedBy>
  <dcterms:created xsi:type="dcterms:W3CDTF">2026-05-20T10:10:24Z</dcterms:created>
  <dcterms:modified xsi:type="dcterms:W3CDTF">2026-05-20T10:16:28Z</dcterms:modified>
</cp:coreProperties>
</file>